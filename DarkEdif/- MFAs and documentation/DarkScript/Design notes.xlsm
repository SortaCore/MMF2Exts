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7410" windowHeight="8370" activeTab="4"/>
  </bookViews>
  <sheets>
    <sheet name="Sheet1" sheetId="1" r:id="rId1"/>
    <sheet name="Sheet2" sheetId="2" r:id="rId2"/>
    <sheet name="Sheet3" sheetId="3" r:id="rId3"/>
    <sheet name="Sheet5" sheetId="5" r:id="rId4"/>
    <sheet name="Sheet6" sheetId="6" r:id="rId5"/>
    <sheet name="Sheet4" sheetId="7" r:id="rId6"/>
  </sheets>
  <functionGroups builtInGroupCount="17"/>
  <calcPr calcId="144525"/>
</workbook>
</file>

<file path=xl/calcChain.xml><?xml version="1.0" encoding="utf-8"?>
<calcChain xmlns="http://schemas.openxmlformats.org/spreadsheetml/2006/main">
  <c r="I23" i="6" l="1"/>
  <c r="J21" i="6" l="1"/>
  <c r="J20" i="6"/>
  <c r="G18" i="6"/>
  <c r="G19" i="6" s="1"/>
  <c r="G20" i="6" s="1"/>
  <c r="G21" i="6" s="1"/>
  <c r="G22" i="6" s="1"/>
  <c r="G23" i="6" l="1"/>
  <c r="G24" i="6" s="1"/>
  <c r="G25" i="6" s="1"/>
  <c r="G26" i="6" s="1"/>
  <c r="G27" i="6" s="1"/>
  <c r="G28" i="6" s="1"/>
  <c r="I11" i="6"/>
  <c r="J11" i="6" s="1"/>
  <c r="K11" i="6" s="1"/>
  <c r="L11" i="6" s="1"/>
  <c r="M11" i="6" s="1"/>
  <c r="N11" i="6" s="1"/>
  <c r="O11" i="6" s="1"/>
  <c r="P11" i="6" s="1"/>
  <c r="Q11" i="6" s="1"/>
  <c r="D10" i="1"/>
  <c r="D11" i="1" s="1"/>
  <c r="D12" i="1" s="1"/>
  <c r="D13" i="1" s="1"/>
  <c r="D14" i="1" s="1"/>
  <c r="D15" i="1" s="1"/>
  <c r="D16" i="1" s="1"/>
  <c r="D17" i="1" s="1"/>
  <c r="D18" i="1" s="1"/>
  <c r="D9" i="1"/>
  <c r="C10" i="1"/>
  <c r="C11" i="1" s="1"/>
  <c r="C12" i="1" s="1"/>
  <c r="C13" i="1" s="1"/>
  <c r="C14" i="1" s="1"/>
  <c r="C15" i="1" s="1"/>
  <c r="C16" i="1" s="1"/>
  <c r="C17" i="1" s="1"/>
  <c r="C18" i="1" s="1"/>
  <c r="C46" i="6"/>
  <c r="D46" i="6" s="1"/>
  <c r="C9" i="1"/>
  <c r="F14" i="6"/>
  <c r="G9" i="6"/>
  <c r="F13" i="6" l="1"/>
  <c r="F8" i="3"/>
  <c r="G8" i="3" s="1"/>
  <c r="K20" i="3"/>
  <c r="K19" i="3" s="1"/>
  <c r="K18" i="3" s="1"/>
  <c r="K17" i="3" s="1"/>
  <c r="K16" i="3" s="1"/>
  <c r="K15" i="3" s="1"/>
  <c r="K14" i="3" s="1"/>
  <c r="K13" i="3" s="1"/>
  <c r="K12" i="3" s="1"/>
  <c r="K11" i="3" s="1"/>
  <c r="K21" i="3"/>
  <c r="L21" i="3"/>
  <c r="H9" i="6"/>
  <c r="G14" i="6"/>
  <c r="I18" i="3"/>
  <c r="I11" i="3"/>
  <c r="I16" i="3"/>
  <c r="I14" i="3"/>
  <c r="I20" i="3"/>
  <c r="I17" i="3"/>
  <c r="I12" i="3"/>
  <c r="I13" i="3"/>
  <c r="I15" i="3"/>
  <c r="I21" i="3"/>
  <c r="I19" i="3"/>
  <c r="G13" i="6" l="1"/>
  <c r="G6" i="3"/>
  <c r="I22" i="3"/>
  <c r="I23" i="3"/>
  <c r="K23" i="3"/>
  <c r="K22" i="3" s="1"/>
  <c r="I9" i="6"/>
  <c r="H14" i="6"/>
  <c r="I14" i="6"/>
  <c r="H13" i="6" l="1"/>
  <c r="I13" i="6"/>
  <c r="B3" i="3"/>
  <c r="C3" i="3"/>
  <c r="J9" i="6"/>
  <c r="D10" i="3" l="1"/>
  <c r="D8" i="1"/>
  <c r="E22" i="1"/>
  <c r="C8" i="1"/>
  <c r="K9" i="6"/>
  <c r="K14" i="6"/>
  <c r="J14" i="6"/>
  <c r="J13" i="6" l="1"/>
  <c r="K13" i="6"/>
  <c r="E10" i="3"/>
  <c r="L9" i="6"/>
  <c r="L14" i="6"/>
  <c r="L13" i="6" l="1"/>
  <c r="G11" i="3"/>
  <c r="D11" i="3"/>
  <c r="F11" i="3" s="1"/>
  <c r="E11" i="3"/>
  <c r="D12" i="3" s="1"/>
  <c r="M9" i="6"/>
  <c r="M14" i="6"/>
  <c r="M13" i="6" l="1"/>
  <c r="E12" i="3"/>
  <c r="D13" i="3" s="1"/>
  <c r="G12" i="3"/>
  <c r="N9" i="6"/>
  <c r="N14" i="6"/>
  <c r="F12" i="3"/>
  <c r="N13" i="6" l="1"/>
  <c r="E13" i="3"/>
  <c r="D14" i="3" s="1"/>
  <c r="F10" i="3"/>
  <c r="G13" i="3"/>
  <c r="O9" i="6"/>
  <c r="O14" i="6"/>
  <c r="F13" i="3"/>
  <c r="O13" i="6" l="1"/>
  <c r="P9" i="6"/>
  <c r="E14" i="3"/>
  <c r="D15" i="3" s="1"/>
  <c r="G14" i="3"/>
  <c r="P14" i="6"/>
  <c r="F14" i="3"/>
  <c r="P13" i="6" l="1"/>
  <c r="Q9" i="6"/>
  <c r="E15" i="3"/>
  <c r="D16" i="3" s="1"/>
  <c r="G15" i="3"/>
  <c r="Q14" i="6"/>
  <c r="F15" i="3"/>
  <c r="Q13" i="6" l="1"/>
  <c r="E16" i="3"/>
  <c r="G16" i="3"/>
  <c r="F16" i="3"/>
  <c r="G17" i="3" l="1"/>
  <c r="D17" i="3"/>
  <c r="E17" i="3"/>
  <c r="F17" i="3"/>
  <c r="G18" i="3" l="1"/>
  <c r="D18" i="3"/>
  <c r="E18" i="3"/>
  <c r="D19" i="3" s="1"/>
  <c r="F18" i="3"/>
  <c r="E19" i="3" l="1"/>
  <c r="G19" i="3"/>
  <c r="F19" i="3"/>
  <c r="G20" i="3" l="1"/>
  <c r="D20" i="3"/>
  <c r="E20" i="3"/>
  <c r="D21" i="3" s="1"/>
  <c r="F20" i="3"/>
  <c r="E21" i="3" l="1"/>
  <c r="D22" i="3" s="1"/>
  <c r="G21" i="3"/>
  <c r="F21" i="3"/>
  <c r="E22" i="3" l="1"/>
  <c r="G22" i="3"/>
  <c r="F22" i="3"/>
</calcChain>
</file>

<file path=xl/sharedStrings.xml><?xml version="1.0" encoding="utf-8"?>
<sst xmlns="http://schemas.openxmlformats.org/spreadsheetml/2006/main" count="270" uniqueCount="116">
  <si>
    <t>num params</t>
  </si>
  <si>
    <t>return types</t>
  </si>
  <si>
    <t>num expression variants</t>
  </si>
  <si>
    <t>possible fix:</t>
  </si>
  <si>
    <t>Delay("F", 20) + Func("F")</t>
  </si>
  <si>
    <t>4 variants now ignored</t>
  </si>
  <si>
    <t>max num expressions for Fusion?</t>
  </si>
  <si>
    <t>65536 according to Dynasoft</t>
  </si>
  <si>
    <t>255 won't cut it if it's 8-bit</t>
  </si>
  <si>
    <t>let's check the size of the ID variable for conditions</t>
  </si>
  <si>
    <t>ID size is 16-bit, ok</t>
  </si>
  <si>
    <t>What's EDIF use for a prefix</t>
  </si>
  <si>
    <t>Limit without modifying EDIF:</t>
  </si>
  <si>
    <t>not actually gonna make that many, Fusion would die loading the ext… or would it</t>
  </si>
  <si>
    <t>since I'm not planning to put them all in the menus, it might not bother loading them all</t>
  </si>
  <si>
    <t>Compile errors eliminated</t>
  </si>
  <si>
    <t>JSON errors eliminated</t>
  </si>
  <si>
    <t>Runtime errors: dubious</t>
  </si>
  <si>
    <t>Framework for functions is there, but the main feature of running them isn't done yet.</t>
  </si>
  <si>
    <t>Main priority is to get the framework working so I can trust it before I start expanding.</t>
  </si>
  <si>
    <t>I'm planning to put a ton of functions in by preprocessor or template metaprogramming,</t>
  </si>
  <si>
    <t>but for that to work, I'll need a solid ID number to start with.</t>
  </si>
  <si>
    <t>If IDs are changed later, it'll be a problem, as all existing MFAs won't load without crashing.</t>
  </si>
  <si>
    <t>So I'd have to add new functionality at the end, which will mean my current plan of reverse-engineering</t>
  </si>
  <si>
    <t>parameters from the expression ID that calls it (like a bitmask) won't work</t>
  </si>
  <si>
    <t>I can't leave holes in IDs  either, Fusion doesn't allow it, so I'd have to use placeholder functions</t>
  </si>
  <si>
    <t>Input ID:</t>
  </si>
  <si>
    <t>Num return types:</t>
  </si>
  <si>
    <t>Integer</t>
  </si>
  <si>
    <t>Float</t>
  </si>
  <si>
    <t>String</t>
  </si>
  <si>
    <t>Num param types:</t>
  </si>
  <si>
    <t>Return Type:</t>
  </si>
  <si>
    <t>Param 1:</t>
  </si>
  <si>
    <t>Delayed:</t>
  </si>
  <si>
    <t>Repeating:</t>
  </si>
  <si>
    <t>Param 2:</t>
  </si>
  <si>
    <t>Param 3:</t>
  </si>
  <si>
    <t>Param 4:</t>
  </si>
  <si>
    <t>Param 5:</t>
  </si>
  <si>
    <t>Param 6:</t>
  </si>
  <si>
    <t>Param 7:</t>
  </si>
  <si>
    <t>Param 8</t>
  </si>
  <si>
    <t>Param 9:</t>
  </si>
  <si>
    <t>Param 10:</t>
  </si>
  <si>
    <t>Settings:</t>
  </si>
  <si>
    <t>Num Params:</t>
  </si>
  <si>
    <t>Right on the edge of this working.</t>
  </si>
  <si>
    <t>Just need to fiddle with numbers, maybe will do that tomorrow.</t>
  </si>
  <si>
    <t>Android port worked ok, as does Unicode and non-Unicode, as expected.</t>
  </si>
  <si>
    <t>Pointer arithmetric, always fun, and I bet I have a few parameter offsets</t>
  </si>
  <si>
    <t>out of sync too.</t>
  </si>
  <si>
    <t>without Repeat/Delay as part of the expression</t>
  </si>
  <si>
    <t>Keeping object selection would be useful; maybe better if you can refer back to selection in function, rather than explicitly saving.</t>
  </si>
  <si>
    <t>Depends if you can repeat inside the function without issue - a foreach loop, a fastloop.</t>
  </si>
  <si>
    <t>Repeating is more useful because it's still immediate.</t>
  </si>
  <si>
    <t>variants (repeating, object selection keeping, both, neither)</t>
  </si>
  <si>
    <t>param types</t>
  </si>
  <si>
    <t>3 param types, 3 return types, 4 variants</t>
  </si>
  <si>
    <t>None</t>
  </si>
  <si>
    <t>1 parameter max</t>
  </si>
  <si>
    <t>Int</t>
  </si>
  <si>
    <t>Return type</t>
  </si>
  <si>
    <t>Param 1</t>
  </si>
  <si>
    <t>TOTAL:</t>
  </si>
  <si>
    <t>&lt;--?</t>
  </si>
  <si>
    <t>&lt;--</t>
  </si>
  <si>
    <t>8 parameters if no variants.</t>
  </si>
  <si>
    <t>Can make an ext with 6-parameter expressions if variants.</t>
  </si>
  <si>
    <t>Delayed might as well be an action. As an expression, why bother?</t>
  </si>
  <si>
    <t>ID to decode</t>
  </si>
  <si>
    <t>Variant</t>
  </si>
  <si>
    <t>Normal</t>
  </si>
  <si>
    <t>Selection kept</t>
  </si>
  <si>
    <t>Repeating</t>
  </si>
  <si>
    <t>Param types</t>
  </si>
  <si>
    <t>Return types</t>
  </si>
  <si>
    <t>Variants</t>
  </si>
  <si>
    <t>Repeating, selection kept</t>
  </si>
  <si>
    <t>Intermediate values</t>
  </si>
  <si>
    <t>59046 expressions with 3 param types, 3 return types, 2 variants. 0-8 parameters.</t>
  </si>
  <si>
    <t>39360 expressions with 3 param types, 3 return types, 4 variants. 0-7 parameters.</t>
  </si>
  <si>
    <t>26232 expressions with 3 param types, 3 return types, 8 variants. 0-6 parameters.</t>
  </si>
  <si>
    <t>EventNum keeping:</t>
  </si>
  <si>
    <t>Fusion 2.0</t>
  </si>
  <si>
    <t>Fusion 2.5</t>
  </si>
  <si>
    <t>Save and Restore each condition:</t>
  </si>
  <si>
    <t>Normal ops</t>
  </si>
  <si>
    <t>OR (logical)</t>
  </si>
  <si>
    <t>OR (filtered)</t>
  </si>
  <si>
    <t>Child events</t>
  </si>
  <si>
    <t>Child + OR (logical)</t>
  </si>
  <si>
    <t>Reselects all</t>
  </si>
  <si>
    <t>OK</t>
  </si>
  <si>
    <t>N/A</t>
  </si>
  <si>
    <t>Using OR, even when condition on other side of OR is Never or doesn't mention DarkFunction,</t>
  </si>
  <si>
    <t>results in the selection being ignored. Possibly EventCountOR?</t>
  </si>
  <si>
    <t>EventNum + EventNumOR</t>
  </si>
  <si>
    <t>Normal behaviour of ORs:</t>
  </si>
  <si>
    <t>Filtered OR: Will select all objects involved in conditions, regardless of which set of conditions is true.</t>
  </si>
  <si>
    <t>Logical OR: Will correctly select only the objects in those specific conditions</t>
  </si>
  <si>
    <r>
      <t xml:space="preserve">durin Any: expected green 2, red 2; </t>
    </r>
    <r>
      <rPr>
        <b/>
        <sz val="11"/>
        <color theme="1"/>
        <rFont val="Calibri"/>
        <family val="2"/>
        <scheme val="minor"/>
      </rPr>
      <t>if green 1, is broken</t>
    </r>
  </si>
  <si>
    <t>green 5, red 2</t>
  </si>
  <si>
    <t>green 4, red 2</t>
  </si>
  <si>
    <t>1 param</t>
  </si>
  <si>
    <t>0 param</t>
  </si>
  <si>
    <t>2 param</t>
  </si>
  <si>
    <t>3 param</t>
  </si>
  <si>
    <t>4 param</t>
  </si>
  <si>
    <t>5 param</t>
  </si>
  <si>
    <t>6 param</t>
  </si>
  <si>
    <t>7 param</t>
  </si>
  <si>
    <t>8 param</t>
  </si>
  <si>
    <t>9 param</t>
  </si>
  <si>
    <t>10 param</t>
  </si>
  <si>
    <t>Return/param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</si>
</sst>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3F3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quotePrefix="1"/>
    <xf numFmtId="0" fontId="0" fillId="0" borderId="0" xfId="0" applyAlignment="1">
      <alignment horizontal="left" indent="1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left"/>
    </xf>
    <xf numFmtId="0" fontId="2" fillId="2" borderId="0" xfId="0" applyFont="1" applyFill="1"/>
    <xf numFmtId="0" fontId="0" fillId="0" borderId="0" xfId="0" applyNumberFormat="1"/>
    <xf numFmtId="0" fontId="0" fillId="0" borderId="4" xfId="0" applyBorder="1"/>
    <xf numFmtId="0" fontId="0" fillId="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7" xfId="0" applyNumberFormat="1" applyBorder="1"/>
    <xf numFmtId="49" fontId="0" fillId="0" borderId="8" xfId="0" applyNumberFormat="1" applyBorder="1"/>
    <xf numFmtId="0" fontId="0" fillId="0" borderId="9" xfId="0" applyNumberFormat="1" applyBorder="1"/>
    <xf numFmtId="0" fontId="0" fillId="0" borderId="10" xfId="0" applyBorder="1"/>
    <xf numFmtId="0" fontId="0" fillId="0" borderId="9" xfId="0" applyBorder="1"/>
    <xf numFmtId="0" fontId="3" fillId="0" borderId="1" xfId="0" applyFont="1" applyBorder="1"/>
    <xf numFmtId="0" fontId="0" fillId="0" borderId="0" xfId="0" applyBorder="1"/>
    <xf numFmtId="0" fontId="0" fillId="0" borderId="8" xfId="0" applyBorder="1"/>
    <xf numFmtId="0" fontId="0" fillId="0" borderId="12" xfId="0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F3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24"/>
  <sheetViews>
    <sheetView topLeftCell="A7" workbookViewId="0">
      <selection activeCell="C23" sqref="C23"/>
    </sheetView>
  </sheetViews>
  <sheetFormatPr defaultRowHeight="15" x14ac:dyDescent="0.25"/>
  <cols>
    <col min="2" max="2" width="11.85546875" bestFit="1" customWidth="1"/>
    <col min="3" max="3" width="22.42578125" customWidth="1"/>
    <col min="4" max="4" width="40.28515625" bestFit="1" customWidth="1"/>
  </cols>
  <sheetData>
    <row r="1" spans="2:6" x14ac:dyDescent="0.25">
      <c r="E1" t="s">
        <v>69</v>
      </c>
    </row>
    <row r="2" spans="2:6" x14ac:dyDescent="0.25">
      <c r="E2" t="s">
        <v>55</v>
      </c>
    </row>
    <row r="3" spans="2:6" x14ac:dyDescent="0.25">
      <c r="E3" t="s">
        <v>54</v>
      </c>
    </row>
    <row r="4" spans="2:6" x14ac:dyDescent="0.25">
      <c r="C4">
        <v>3</v>
      </c>
      <c r="D4" t="s">
        <v>57</v>
      </c>
      <c r="E4" t="s">
        <v>53</v>
      </c>
    </row>
    <row r="5" spans="2:6" x14ac:dyDescent="0.25">
      <c r="C5">
        <v>3</v>
      </c>
      <c r="D5" t="s">
        <v>1</v>
      </c>
    </row>
    <row r="6" spans="2:6" x14ac:dyDescent="0.25">
      <c r="C6">
        <v>4</v>
      </c>
      <c r="D6" t="s">
        <v>56</v>
      </c>
    </row>
    <row r="7" spans="2:6" x14ac:dyDescent="0.25">
      <c r="B7" s="3" t="s">
        <v>0</v>
      </c>
      <c r="C7" s="3" t="s">
        <v>2</v>
      </c>
      <c r="D7" s="3" t="s">
        <v>52</v>
      </c>
    </row>
    <row r="8" spans="2:6" x14ac:dyDescent="0.25">
      <c r="B8">
        <v>0</v>
      </c>
      <c r="C8">
        <f>C5*C6</f>
        <v>12</v>
      </c>
      <c r="D8" s="2">
        <f>C5</f>
        <v>3</v>
      </c>
    </row>
    <row r="9" spans="2:6" x14ac:dyDescent="0.25">
      <c r="B9">
        <v>1</v>
      </c>
      <c r="C9">
        <f>C8 + $C$8*POWER($C$4, B9)</f>
        <v>48</v>
      </c>
      <c r="D9" s="2">
        <f>D8 + $D$8*POWER(3, B9)</f>
        <v>12</v>
      </c>
    </row>
    <row r="10" spans="2:6" x14ac:dyDescent="0.25">
      <c r="B10">
        <v>2</v>
      </c>
      <c r="C10">
        <f t="shared" ref="C10:C18" si="0">C9 + $C$8*POWER($C$4, B10)</f>
        <v>156</v>
      </c>
      <c r="D10" s="2">
        <f t="shared" ref="D10:D18" si="1">D9 + $D$8*POWER(3, B10)</f>
        <v>39</v>
      </c>
    </row>
    <row r="11" spans="2:6" x14ac:dyDescent="0.25">
      <c r="B11">
        <v>3</v>
      </c>
      <c r="C11">
        <f t="shared" si="0"/>
        <v>480</v>
      </c>
      <c r="D11" s="2">
        <f t="shared" si="1"/>
        <v>120</v>
      </c>
      <c r="F11" t="s">
        <v>3</v>
      </c>
    </row>
    <row r="12" spans="2:6" x14ac:dyDescent="0.25">
      <c r="B12">
        <v>4</v>
      </c>
      <c r="C12">
        <f t="shared" si="0"/>
        <v>1452</v>
      </c>
      <c r="D12" s="2">
        <f t="shared" si="1"/>
        <v>363</v>
      </c>
      <c r="F12" t="s">
        <v>4</v>
      </c>
    </row>
    <row r="13" spans="2:6" x14ac:dyDescent="0.25">
      <c r="B13">
        <v>5</v>
      </c>
      <c r="C13">
        <f t="shared" si="0"/>
        <v>4368</v>
      </c>
      <c r="D13" s="2">
        <f t="shared" si="1"/>
        <v>1092</v>
      </c>
      <c r="E13" s="1"/>
      <c r="F13" t="s">
        <v>5</v>
      </c>
    </row>
    <row r="14" spans="2:6" x14ac:dyDescent="0.25">
      <c r="B14">
        <v>6</v>
      </c>
      <c r="C14">
        <f t="shared" si="0"/>
        <v>13116</v>
      </c>
      <c r="D14" s="2">
        <f t="shared" si="1"/>
        <v>3279</v>
      </c>
      <c r="E14" t="s">
        <v>66</v>
      </c>
    </row>
    <row r="15" spans="2:6" x14ac:dyDescent="0.25">
      <c r="B15">
        <v>7</v>
      </c>
      <c r="C15">
        <f t="shared" si="0"/>
        <v>39360</v>
      </c>
      <c r="D15" s="2">
        <f t="shared" si="1"/>
        <v>9840</v>
      </c>
      <c r="F15" t="s">
        <v>6</v>
      </c>
    </row>
    <row r="16" spans="2:6" x14ac:dyDescent="0.25">
      <c r="B16">
        <v>8</v>
      </c>
      <c r="C16">
        <f t="shared" si="0"/>
        <v>118092</v>
      </c>
      <c r="D16" s="2">
        <f t="shared" si="1"/>
        <v>29523</v>
      </c>
      <c r="E16" t="s">
        <v>65</v>
      </c>
      <c r="F16" t="s">
        <v>7</v>
      </c>
    </row>
    <row r="17" spans="2:6" x14ac:dyDescent="0.25">
      <c r="B17">
        <v>9</v>
      </c>
      <c r="C17">
        <f t="shared" si="0"/>
        <v>354288</v>
      </c>
      <c r="D17" s="2">
        <f t="shared" si="1"/>
        <v>88572</v>
      </c>
      <c r="F17" t="s">
        <v>8</v>
      </c>
    </row>
    <row r="18" spans="2:6" x14ac:dyDescent="0.25">
      <c r="B18">
        <v>10</v>
      </c>
      <c r="C18">
        <f t="shared" si="0"/>
        <v>1062876</v>
      </c>
      <c r="D18" s="2">
        <f t="shared" si="1"/>
        <v>265719</v>
      </c>
      <c r="F18" t="s">
        <v>9</v>
      </c>
    </row>
    <row r="19" spans="2:6" x14ac:dyDescent="0.25">
      <c r="F19" t="s">
        <v>10</v>
      </c>
    </row>
    <row r="20" spans="2:6" x14ac:dyDescent="0.25">
      <c r="C20" t="s">
        <v>68</v>
      </c>
      <c r="F20" t="s">
        <v>11</v>
      </c>
    </row>
    <row r="21" spans="2:6" x14ac:dyDescent="0.25">
      <c r="C21" t="s">
        <v>67</v>
      </c>
      <c r="E21" t="s">
        <v>12</v>
      </c>
    </row>
    <row r="22" spans="2:6" x14ac:dyDescent="0.25">
      <c r="E22">
        <f>POWER(2,16)-27000</f>
        <v>38536</v>
      </c>
    </row>
    <row r="23" spans="2:6" x14ac:dyDescent="0.25">
      <c r="C23">
        <v>38536</v>
      </c>
      <c r="F23" t="s">
        <v>13</v>
      </c>
    </row>
    <row r="24" spans="2:6" x14ac:dyDescent="0.25">
      <c r="F24" t="s">
        <v>14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14"/>
  <sheetViews>
    <sheetView zoomScale="85" zoomScaleNormal="85" workbookViewId="0">
      <selection activeCell="A10" sqref="A10"/>
    </sheetView>
  </sheetViews>
  <sheetFormatPr defaultRowHeight="15" x14ac:dyDescent="0.25"/>
  <cols>
    <col min="1" max="1" width="80.85546875" bestFit="1" customWidth="1"/>
  </cols>
  <sheetData>
    <row r="2" spans="1:1" x14ac:dyDescent="0.25">
      <c r="A2" t="s">
        <v>15</v>
      </c>
    </row>
    <row r="3" spans="1:1" x14ac:dyDescent="0.25">
      <c r="A3" t="s">
        <v>16</v>
      </c>
    </row>
    <row r="4" spans="1:1" x14ac:dyDescent="0.25">
      <c r="A4" t="s">
        <v>17</v>
      </c>
    </row>
    <row r="6" spans="1:1" x14ac:dyDescent="0.25">
      <c r="A6" t="s">
        <v>18</v>
      </c>
    </row>
    <row r="7" spans="1:1" x14ac:dyDescent="0.25">
      <c r="A7" t="s">
        <v>19</v>
      </c>
    </row>
    <row r="8" spans="1:1" x14ac:dyDescent="0.25">
      <c r="A8" t="s">
        <v>20</v>
      </c>
    </row>
    <row r="9" spans="1:1" x14ac:dyDescent="0.25">
      <c r="A9" t="s">
        <v>21</v>
      </c>
    </row>
    <row r="10" spans="1:1" x14ac:dyDescent="0.25">
      <c r="A10" t="s">
        <v>22</v>
      </c>
    </row>
    <row r="11" spans="1:1" x14ac:dyDescent="0.25">
      <c r="A11" t="s">
        <v>23</v>
      </c>
    </row>
    <row r="12" spans="1:1" x14ac:dyDescent="0.25">
      <c r="A12" t="s">
        <v>24</v>
      </c>
    </row>
    <row r="14" spans="1:1" x14ac:dyDescent="0.25">
      <c r="A14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23"/>
  <sheetViews>
    <sheetView topLeftCell="C7" workbookViewId="0">
      <selection activeCell="F8" sqref="F8"/>
    </sheetView>
  </sheetViews>
  <sheetFormatPr defaultRowHeight="15" x14ac:dyDescent="0.25"/>
  <cols>
    <col min="2" max="3" width="17.42578125" bestFit="1" customWidth="1"/>
    <col min="4" max="5" width="9.140625" customWidth="1"/>
    <col min="6" max="6" width="9.140625" style="7"/>
    <col min="8" max="8" width="12.28515625" bestFit="1" customWidth="1"/>
  </cols>
  <sheetData>
    <row r="2" spans="2:11" x14ac:dyDescent="0.25">
      <c r="B2" s="4" t="s">
        <v>27</v>
      </c>
      <c r="C2" s="4" t="s">
        <v>31</v>
      </c>
    </row>
    <row r="3" spans="2:11" x14ac:dyDescent="0.25">
      <c r="B3" s="5">
        <f>COUNTA(B4:B7)</f>
        <v>3</v>
      </c>
      <c r="C3" s="5">
        <f>COUNTA(C4:C7)</f>
        <v>3</v>
      </c>
    </row>
    <row r="4" spans="2:11" x14ac:dyDescent="0.25">
      <c r="B4" s="5"/>
      <c r="C4" s="5"/>
    </row>
    <row r="5" spans="2:11" x14ac:dyDescent="0.25">
      <c r="B5" s="5" t="s">
        <v>28</v>
      </c>
      <c r="C5" s="5" t="s">
        <v>28</v>
      </c>
    </row>
    <row r="6" spans="2:11" x14ac:dyDescent="0.25">
      <c r="B6" s="5" t="s">
        <v>29</v>
      </c>
      <c r="C6" s="5" t="s">
        <v>29</v>
      </c>
      <c r="G6">
        <f>FLOOR(F8/4,1)</f>
        <v>9</v>
      </c>
    </row>
    <row r="7" spans="2:11" x14ac:dyDescent="0.25">
      <c r="B7" s="6" t="s">
        <v>30</v>
      </c>
      <c r="C7" s="6" t="s">
        <v>30</v>
      </c>
      <c r="F7" t="s">
        <v>26</v>
      </c>
      <c r="G7" t="s">
        <v>46</v>
      </c>
    </row>
    <row r="8" spans="2:11" x14ac:dyDescent="0.25">
      <c r="E8">
        <v>9</v>
      </c>
      <c r="F8" s="8">
        <f>E8*4+3</f>
        <v>39</v>
      </c>
      <c r="G8">
        <f>LOG(MAX(1, FLOOR((F8/4)/3,1)),3)</f>
        <v>1</v>
      </c>
    </row>
    <row r="9" spans="2:11" x14ac:dyDescent="0.25">
      <c r="J9" t="s">
        <v>45</v>
      </c>
    </row>
    <row r="10" spans="2:11" x14ac:dyDescent="0.25">
      <c r="C10" t="s">
        <v>34</v>
      </c>
      <c r="D10">
        <f>MOD(F8, 2)</f>
        <v>1</v>
      </c>
      <c r="E10">
        <f>MAX(0, FLOOR(F8/ 2, 1))</f>
        <v>19</v>
      </c>
      <c r="F10" s="7" t="b">
        <f>IF(D10&lt;&gt;0, TRUE(), FALSE())</f>
        <v>1</v>
      </c>
    </row>
    <row r="11" spans="2:11" x14ac:dyDescent="0.25">
      <c r="C11" t="s">
        <v>35</v>
      </c>
      <c r="D11">
        <f>MOD(E10, 2)</f>
        <v>1</v>
      </c>
      <c r="E11">
        <f>MAX(0, FLOOR(E10 / 2, 1))</f>
        <v>9</v>
      </c>
      <c r="F11" s="7" t="b">
        <f>IF(D11&lt;&gt;0, TRUE(), FALSE())</f>
        <v>1</v>
      </c>
      <c r="G11">
        <f>FLOOR(E10/2,1)</f>
        <v>9</v>
      </c>
      <c r="H11" t="s">
        <v>44</v>
      </c>
      <c r="I11" s="7" t="str">
        <f t="shared" ref="I11:I20" ca="1" si="0">IF(INDIRECT(ADDRESS(ROW($C$4)+J11, COLUMN($C$4)))&lt;&gt;"", INDIRECT(ADDRESS(ROW($C$4)+J11, COLUMN($C$4))), "")</f>
        <v/>
      </c>
      <c r="J11">
        <v>0</v>
      </c>
      <c r="K11">
        <f t="shared" ref="K11:K18" si="1">K12+J11*$C$3</f>
        <v>12</v>
      </c>
    </row>
    <row r="12" spans="2:11" x14ac:dyDescent="0.25">
      <c r="C12" t="s">
        <v>32</v>
      </c>
      <c r="D12">
        <f>MOD(E11, $B$3)+1</f>
        <v>1</v>
      </c>
      <c r="E12">
        <f>MAX(0, FLOOR(E11 / $B$3, 1))</f>
        <v>3</v>
      </c>
      <c r="F12" s="7" t="str">
        <f ca="1">INDIRECT(ADDRESS(ROW($B$4)+D12, COLUMN($B$4)))</f>
        <v>Integer</v>
      </c>
      <c r="G12">
        <f>FLOOR(E11/2,1)</f>
        <v>4</v>
      </c>
      <c r="H12" t="s">
        <v>43</v>
      </c>
      <c r="I12" s="7" t="str">
        <f t="shared" ca="1" si="0"/>
        <v/>
      </c>
      <c r="J12">
        <v>0</v>
      </c>
      <c r="K12">
        <f t="shared" si="1"/>
        <v>12</v>
      </c>
    </row>
    <row r="13" spans="2:11" x14ac:dyDescent="0.25">
      <c r="C13" t="s">
        <v>33</v>
      </c>
      <c r="D13">
        <f>MOD(E12, $C$3)</f>
        <v>0</v>
      </c>
      <c r="E13">
        <f>MAX(0, FLOOR(E12 / $C$3, 1))</f>
        <v>1</v>
      </c>
      <c r="F13" s="7" t="str">
        <f ca="1">IF(INDIRECT(ADDRESS(ROW($C$4)+D13, COLUMN($C$4)))&lt;&gt;"", INDIRECT(ADDRESS(ROW($C$4)+D13, COLUMN($C$4))), "")</f>
        <v/>
      </c>
      <c r="G13">
        <f>FLOOR(E12/4,1)</f>
        <v>0</v>
      </c>
      <c r="H13" t="s">
        <v>42</v>
      </c>
      <c r="I13" s="7" t="str">
        <f t="shared" ca="1" si="0"/>
        <v/>
      </c>
      <c r="J13">
        <v>0</v>
      </c>
      <c r="K13">
        <f t="shared" si="1"/>
        <v>12</v>
      </c>
    </row>
    <row r="14" spans="2:11" x14ac:dyDescent="0.25">
      <c r="C14" t="s">
        <v>36</v>
      </c>
      <c r="D14">
        <f>MOD(E13, $C$3)</f>
        <v>1</v>
      </c>
      <c r="E14">
        <f t="shared" ref="E14:E22" si="2">MAX(0, FLOOR(E13 / ($C$3+1), 1))</f>
        <v>0</v>
      </c>
      <c r="F14" s="7" t="str">
        <f t="shared" ref="F14:F22" ca="1" si="3">IF(INDIRECT(ADDRESS(ROW($C$4)+D14, COLUMN($C$4)))&lt;&gt;"", INDIRECT(ADDRESS(ROW($C$4)+D14, COLUMN($C$4))), "")</f>
        <v>Integer</v>
      </c>
      <c r="G14">
        <f t="shared" ref="G14:G22" si="4">FLOOR(E13/4,1)</f>
        <v>0</v>
      </c>
      <c r="H14" t="s">
        <v>41</v>
      </c>
      <c r="I14" s="7" t="str">
        <f t="shared" ca="1" si="0"/>
        <v/>
      </c>
      <c r="J14">
        <v>0</v>
      </c>
      <c r="K14">
        <f t="shared" si="1"/>
        <v>12</v>
      </c>
    </row>
    <row r="15" spans="2:11" x14ac:dyDescent="0.25">
      <c r="C15" t="s">
        <v>37</v>
      </c>
      <c r="D15">
        <f t="shared" ref="D15:D22" si="5">MOD(E14, $C$3)</f>
        <v>0</v>
      </c>
      <c r="E15">
        <f t="shared" si="2"/>
        <v>0</v>
      </c>
      <c r="F15" s="7" t="str">
        <f t="shared" ca="1" si="3"/>
        <v/>
      </c>
      <c r="G15">
        <f t="shared" si="4"/>
        <v>0</v>
      </c>
      <c r="H15" t="s">
        <v>40</v>
      </c>
      <c r="I15" s="7" t="str">
        <f t="shared" ca="1" si="0"/>
        <v/>
      </c>
      <c r="J15">
        <v>0</v>
      </c>
      <c r="K15">
        <f t="shared" si="1"/>
        <v>12</v>
      </c>
    </row>
    <row r="16" spans="2:11" x14ac:dyDescent="0.25">
      <c r="C16" t="s">
        <v>38</v>
      </c>
      <c r="D16">
        <f t="shared" si="5"/>
        <v>0</v>
      </c>
      <c r="E16">
        <f t="shared" si="2"/>
        <v>0</v>
      </c>
      <c r="F16" s="7" t="str">
        <f t="shared" ca="1" si="3"/>
        <v/>
      </c>
      <c r="G16">
        <f t="shared" si="4"/>
        <v>0</v>
      </c>
      <c r="H16" t="s">
        <v>39</v>
      </c>
      <c r="I16" s="7" t="str">
        <f t="shared" ca="1" si="0"/>
        <v/>
      </c>
      <c r="J16">
        <v>0</v>
      </c>
      <c r="K16">
        <f t="shared" si="1"/>
        <v>12</v>
      </c>
    </row>
    <row r="17" spans="3:12" x14ac:dyDescent="0.25">
      <c r="C17" t="s">
        <v>39</v>
      </c>
      <c r="D17">
        <f t="shared" si="5"/>
        <v>0</v>
      </c>
      <c r="E17">
        <f t="shared" si="2"/>
        <v>0</v>
      </c>
      <c r="F17" s="7" t="str">
        <f t="shared" ca="1" si="3"/>
        <v/>
      </c>
      <c r="G17">
        <f t="shared" si="4"/>
        <v>0</v>
      </c>
      <c r="H17" t="s">
        <v>38</v>
      </c>
      <c r="I17" s="7" t="str">
        <f t="shared" ca="1" si="0"/>
        <v/>
      </c>
      <c r="J17">
        <v>0</v>
      </c>
      <c r="K17">
        <f t="shared" si="1"/>
        <v>12</v>
      </c>
    </row>
    <row r="18" spans="3:12" x14ac:dyDescent="0.25">
      <c r="C18" t="s">
        <v>40</v>
      </c>
      <c r="D18">
        <f t="shared" si="5"/>
        <v>0</v>
      </c>
      <c r="E18">
        <f t="shared" si="2"/>
        <v>0</v>
      </c>
      <c r="F18" s="7" t="str">
        <f t="shared" ca="1" si="3"/>
        <v/>
      </c>
      <c r="G18">
        <f t="shared" si="4"/>
        <v>0</v>
      </c>
      <c r="H18" t="s">
        <v>37</v>
      </c>
      <c r="I18" s="7" t="str">
        <f t="shared" ca="1" si="0"/>
        <v/>
      </c>
      <c r="J18">
        <v>0</v>
      </c>
      <c r="K18">
        <f t="shared" si="1"/>
        <v>12</v>
      </c>
    </row>
    <row r="19" spans="3:12" x14ac:dyDescent="0.25">
      <c r="C19" t="s">
        <v>41</v>
      </c>
      <c r="D19">
        <f t="shared" si="5"/>
        <v>0</v>
      </c>
      <c r="E19">
        <f t="shared" si="2"/>
        <v>0</v>
      </c>
      <c r="F19" s="7" t="str">
        <f t="shared" ca="1" si="3"/>
        <v/>
      </c>
      <c r="G19">
        <f t="shared" si="4"/>
        <v>0</v>
      </c>
      <c r="H19" t="s">
        <v>36</v>
      </c>
      <c r="I19" s="7" t="str">
        <f t="shared" ca="1" si="0"/>
        <v/>
      </c>
      <c r="J19">
        <v>0</v>
      </c>
      <c r="K19">
        <f>K20+J19*$C$3</f>
        <v>12</v>
      </c>
    </row>
    <row r="20" spans="3:12" x14ac:dyDescent="0.25">
      <c r="C20" t="s">
        <v>42</v>
      </c>
      <c r="D20">
        <f t="shared" si="5"/>
        <v>0</v>
      </c>
      <c r="E20">
        <f t="shared" si="2"/>
        <v>0</v>
      </c>
      <c r="F20" s="7" t="str">
        <f t="shared" ca="1" si="3"/>
        <v/>
      </c>
      <c r="G20">
        <f t="shared" si="4"/>
        <v>0</v>
      </c>
      <c r="H20" t="s">
        <v>33</v>
      </c>
      <c r="I20" s="7" t="str">
        <f t="shared" ca="1" si="0"/>
        <v>Integer</v>
      </c>
      <c r="J20">
        <v>1</v>
      </c>
      <c r="K20">
        <f>K21*3+J20-1</f>
        <v>12</v>
      </c>
    </row>
    <row r="21" spans="3:12" x14ac:dyDescent="0.25">
      <c r="C21" t="s">
        <v>43</v>
      </c>
      <c r="D21">
        <f t="shared" si="5"/>
        <v>0</v>
      </c>
      <c r="E21">
        <f t="shared" si="2"/>
        <v>0</v>
      </c>
      <c r="F21" s="7" t="str">
        <f t="shared" ca="1" si="3"/>
        <v/>
      </c>
      <c r="G21">
        <f t="shared" si="4"/>
        <v>0</v>
      </c>
      <c r="H21" t="s">
        <v>32</v>
      </c>
      <c r="I21" t="str">
        <f ca="1">INDIRECT(ADDRESS(ROW($B$4)+J21, COLUMN($B$4)))</f>
        <v>Integer</v>
      </c>
      <c r="J21">
        <v>1</v>
      </c>
      <c r="K21">
        <f>K22-1+J21*2</f>
        <v>4</v>
      </c>
      <c r="L21">
        <f>J22+J23*2+((J21*POWER(4,1))+(J20*POWER(3,2)))*4</f>
        <v>55</v>
      </c>
    </row>
    <row r="22" spans="3:12" x14ac:dyDescent="0.25">
      <c r="C22" t="s">
        <v>44</v>
      </c>
      <c r="D22">
        <f t="shared" si="5"/>
        <v>0</v>
      </c>
      <c r="E22">
        <f t="shared" si="2"/>
        <v>0</v>
      </c>
      <c r="F22" s="7" t="str">
        <f t="shared" ca="1" si="3"/>
        <v/>
      </c>
      <c r="G22">
        <f t="shared" si="4"/>
        <v>0</v>
      </c>
      <c r="H22" t="s">
        <v>35</v>
      </c>
      <c r="I22" s="7" t="b">
        <f>IF(J22&lt;&gt;0, TRUE(), FALSE())</f>
        <v>1</v>
      </c>
      <c r="J22">
        <v>1</v>
      </c>
      <c r="K22">
        <f>K23*2+J22</f>
        <v>3</v>
      </c>
    </row>
    <row r="23" spans="3:12" x14ac:dyDescent="0.25">
      <c r="H23" t="s">
        <v>34</v>
      </c>
      <c r="I23" s="7" t="b">
        <f>IF(J23&lt;&gt;0, TRUE(), FALSE())</f>
        <v>1</v>
      </c>
      <c r="J23">
        <v>1</v>
      </c>
      <c r="K23">
        <f>J23</f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8:B13"/>
  <sheetViews>
    <sheetView zoomScale="85" zoomScaleNormal="85" workbookViewId="0">
      <selection activeCell="B22" sqref="B22"/>
    </sheetView>
  </sheetViews>
  <sheetFormatPr defaultRowHeight="15" x14ac:dyDescent="0.25"/>
  <cols>
    <col min="2" max="2" width="67" bestFit="1" customWidth="1"/>
  </cols>
  <sheetData>
    <row r="8" spans="2:2" x14ac:dyDescent="0.25">
      <c r="B8" t="s">
        <v>47</v>
      </c>
    </row>
    <row r="9" spans="2:2" x14ac:dyDescent="0.25">
      <c r="B9" t="s">
        <v>48</v>
      </c>
    </row>
    <row r="10" spans="2:2" x14ac:dyDescent="0.25">
      <c r="B10" t="s">
        <v>49</v>
      </c>
    </row>
    <row r="12" spans="2:2" x14ac:dyDescent="0.25">
      <c r="B12" t="s">
        <v>50</v>
      </c>
    </row>
    <row r="13" spans="2:2" x14ac:dyDescent="0.25">
      <c r="B13" t="s">
        <v>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6"/>
  <sheetViews>
    <sheetView tabSelected="1" topLeftCell="F1" workbookViewId="0">
      <selection activeCell="I25" sqref="I25"/>
    </sheetView>
  </sheetViews>
  <sheetFormatPr defaultRowHeight="15" x14ac:dyDescent="0.25"/>
  <cols>
    <col min="1" max="4" width="0" hidden="1" customWidth="1"/>
    <col min="5" max="5" width="2.5703125" hidden="1" customWidth="1"/>
    <col min="6" max="6" width="24" bestFit="1" customWidth="1"/>
    <col min="7" max="7" width="19.140625" bestFit="1" customWidth="1"/>
  </cols>
  <sheetData>
    <row r="1" spans="1:17" x14ac:dyDescent="0.25">
      <c r="I1" s="15" t="s">
        <v>115</v>
      </c>
      <c r="J1" s="16"/>
      <c r="K1" s="15" t="s">
        <v>77</v>
      </c>
      <c r="L1" s="29"/>
      <c r="M1" s="29"/>
      <c r="N1" s="30"/>
    </row>
    <row r="2" spans="1:17" x14ac:dyDescent="0.25">
      <c r="B2" t="s">
        <v>58</v>
      </c>
      <c r="F2" s="15" t="s">
        <v>75</v>
      </c>
      <c r="G2" s="16">
        <v>3</v>
      </c>
      <c r="I2" s="17">
        <v>-1</v>
      </c>
      <c r="J2" s="18" t="s">
        <v>59</v>
      </c>
      <c r="K2" s="17">
        <v>0</v>
      </c>
      <c r="L2" s="25" t="s">
        <v>72</v>
      </c>
      <c r="M2" s="25"/>
      <c r="N2" s="26"/>
    </row>
    <row r="3" spans="1:17" x14ac:dyDescent="0.25">
      <c r="B3" t="s">
        <v>60</v>
      </c>
      <c r="F3" s="17" t="s">
        <v>76</v>
      </c>
      <c r="G3" s="18">
        <v>3</v>
      </c>
      <c r="I3" s="19">
        <v>0</v>
      </c>
      <c r="J3" s="20" t="s">
        <v>61</v>
      </c>
      <c r="K3" s="17">
        <v>1</v>
      </c>
      <c r="L3" s="25" t="s">
        <v>73</v>
      </c>
      <c r="M3" s="25"/>
      <c r="N3" s="26"/>
    </row>
    <row r="4" spans="1:17" x14ac:dyDescent="0.25">
      <c r="F4" s="23" t="s">
        <v>77</v>
      </c>
      <c r="G4" s="22">
        <v>4</v>
      </c>
      <c r="I4" s="19">
        <v>1</v>
      </c>
      <c r="J4" s="20" t="s">
        <v>30</v>
      </c>
      <c r="K4" s="17">
        <v>2</v>
      </c>
      <c r="L4" s="25" t="s">
        <v>74</v>
      </c>
      <c r="M4" s="25"/>
      <c r="N4" s="26"/>
    </row>
    <row r="5" spans="1:17" x14ac:dyDescent="0.25">
      <c r="I5" s="21">
        <v>2</v>
      </c>
      <c r="J5" s="22" t="s">
        <v>29</v>
      </c>
      <c r="K5" s="23">
        <v>3</v>
      </c>
      <c r="L5" s="27" t="s">
        <v>78</v>
      </c>
      <c r="M5" s="27"/>
      <c r="N5" s="28"/>
    </row>
    <row r="6" spans="1:17" x14ac:dyDescent="0.25">
      <c r="F6">
        <v>3</v>
      </c>
      <c r="G6">
        <v>9</v>
      </c>
      <c r="H6">
        <v>3</v>
      </c>
      <c r="I6" s="9">
        <v>5</v>
      </c>
      <c r="J6" s="9">
        <v>9</v>
      </c>
    </row>
    <row r="7" spans="1:17" x14ac:dyDescent="0.25">
      <c r="A7">
        <v>0</v>
      </c>
      <c r="B7" t="s">
        <v>61</v>
      </c>
      <c r="C7" t="s">
        <v>59</v>
      </c>
      <c r="D7" t="s">
        <v>59</v>
      </c>
    </row>
    <row r="8" spans="1:17" x14ac:dyDescent="0.25">
      <c r="A8">
        <v>1</v>
      </c>
      <c r="B8" t="s">
        <v>29</v>
      </c>
      <c r="C8" t="s">
        <v>59</v>
      </c>
      <c r="D8" t="s">
        <v>59</v>
      </c>
      <c r="F8" s="24" t="s">
        <v>70</v>
      </c>
      <c r="G8" t="s">
        <v>79</v>
      </c>
    </row>
    <row r="9" spans="1:17" x14ac:dyDescent="0.25">
      <c r="A9">
        <v>2</v>
      </c>
      <c r="B9" t="s">
        <v>30</v>
      </c>
      <c r="C9" t="s">
        <v>59</v>
      </c>
      <c r="D9" t="s">
        <v>59</v>
      </c>
      <c r="F9" s="6">
        <v>4368</v>
      </c>
      <c r="G9">
        <f>FusionWrap(F9, $G$4)</f>
        <v>1092</v>
      </c>
      <c r="H9">
        <f>IF(G9&gt;$G$3-1, FusionWrap(G9, $G$3)-1, -1)</f>
        <v>363</v>
      </c>
      <c r="I9">
        <f>IF(H9&gt;$G$2-1, FusionWrap(H9, $G$2)-1, -1)</f>
        <v>120</v>
      </c>
      <c r="J9">
        <f t="shared" ref="J9:Q9" si="0">IF(I9&gt;$G$2-1, FusionWrap(I9, $G$2)-1, -1)</f>
        <v>39</v>
      </c>
      <c r="K9">
        <f t="shared" si="0"/>
        <v>12</v>
      </c>
      <c r="L9">
        <f t="shared" si="0"/>
        <v>3</v>
      </c>
      <c r="M9">
        <f t="shared" si="0"/>
        <v>0</v>
      </c>
      <c r="N9">
        <f t="shared" si="0"/>
        <v>-1</v>
      </c>
      <c r="O9">
        <f t="shared" si="0"/>
        <v>-1</v>
      </c>
      <c r="P9">
        <f t="shared" si="0"/>
        <v>-1</v>
      </c>
      <c r="Q9">
        <f t="shared" si="0"/>
        <v>-1</v>
      </c>
    </row>
    <row r="10" spans="1:17" x14ac:dyDescent="0.25">
      <c r="A10">
        <v>3</v>
      </c>
      <c r="B10" t="s">
        <v>61</v>
      </c>
      <c r="C10" t="s">
        <v>61</v>
      </c>
      <c r="D10" t="s">
        <v>59</v>
      </c>
    </row>
    <row r="11" spans="1:17" s="3" customFormat="1" x14ac:dyDescent="0.25">
      <c r="A11" s="3">
        <v>4</v>
      </c>
      <c r="B11" s="3" t="s">
        <v>29</v>
      </c>
      <c r="C11" s="3" t="s">
        <v>61</v>
      </c>
      <c r="D11" s="3" t="s">
        <v>59</v>
      </c>
      <c r="F11" s="3" t="s">
        <v>71</v>
      </c>
      <c r="G11" s="3" t="s">
        <v>62</v>
      </c>
      <c r="H11" s="3" t="s">
        <v>63</v>
      </c>
      <c r="I11" s="3" t="str">
        <f>"Param "&amp;(RIGHT(H11,1)+1)</f>
        <v>Param 2</v>
      </c>
      <c r="J11" s="3" t="str">
        <f t="shared" ref="J11:Q11" si="1">"Param "&amp;(RIGHT(I11,1)+1)</f>
        <v>Param 3</v>
      </c>
      <c r="K11" s="3" t="str">
        <f t="shared" si="1"/>
        <v>Param 4</v>
      </c>
      <c r="L11" s="3" t="str">
        <f t="shared" si="1"/>
        <v>Param 5</v>
      </c>
      <c r="M11" s="3" t="str">
        <f t="shared" si="1"/>
        <v>Param 6</v>
      </c>
      <c r="N11" s="3" t="str">
        <f t="shared" si="1"/>
        <v>Param 7</v>
      </c>
      <c r="O11" s="3" t="str">
        <f t="shared" si="1"/>
        <v>Param 8</v>
      </c>
      <c r="P11" s="3" t="str">
        <f t="shared" si="1"/>
        <v>Param 9</v>
      </c>
      <c r="Q11" s="3" t="str">
        <f t="shared" si="1"/>
        <v>Param 10</v>
      </c>
    </row>
    <row r="12" spans="1:17" hidden="1" x14ac:dyDescent="0.25">
      <c r="A12">
        <v>5</v>
      </c>
      <c r="B12" t="s">
        <v>30</v>
      </c>
      <c r="C12" t="s">
        <v>61</v>
      </c>
      <c r="D12" t="s">
        <v>59</v>
      </c>
    </row>
    <row r="13" spans="1:17" x14ac:dyDescent="0.25">
      <c r="A13">
        <v>6</v>
      </c>
      <c r="B13" t="s">
        <v>61</v>
      </c>
      <c r="C13" t="s">
        <v>29</v>
      </c>
      <c r="D13" t="s">
        <v>59</v>
      </c>
      <c r="F13" t="str">
        <f>VLOOKUP(F14, $K$2:$L$5, 2, FALSE)</f>
        <v>Normal</v>
      </c>
      <c r="G13" t="str">
        <f>VLOOKUP(G14, $I$2:$J$5, 2, FALSE)</f>
        <v>Int</v>
      </c>
      <c r="H13" t="str">
        <f>VLOOKUP(H14, $I$2:$J$5, 2, FALSE)</f>
        <v>Int</v>
      </c>
      <c r="I13" t="str">
        <f>VLOOKUP(I14, $I$2:$J$5, 2, FALSE)</f>
        <v>Int</v>
      </c>
      <c r="J13" t="str">
        <f t="shared" ref="J13:Q13" si="2">VLOOKUP(J14, $I$2:$J$5, 2, FALSE)</f>
        <v>Int</v>
      </c>
      <c r="K13" t="str">
        <f t="shared" si="2"/>
        <v>Int</v>
      </c>
      <c r="L13" t="str">
        <f t="shared" si="2"/>
        <v>Int</v>
      </c>
      <c r="M13" t="str">
        <f t="shared" si="2"/>
        <v>Int</v>
      </c>
      <c r="N13" t="str">
        <f t="shared" si="2"/>
        <v>None</v>
      </c>
      <c r="O13" t="str">
        <f t="shared" si="2"/>
        <v>None</v>
      </c>
      <c r="P13" t="str">
        <f t="shared" si="2"/>
        <v>None</v>
      </c>
      <c r="Q13" t="str">
        <f t="shared" si="2"/>
        <v>None</v>
      </c>
    </row>
    <row r="14" spans="1:17" hidden="1" x14ac:dyDescent="0.25">
      <c r="A14">
        <v>7</v>
      </c>
      <c r="B14" t="s">
        <v>29</v>
      </c>
      <c r="C14" t="s">
        <v>29</v>
      </c>
      <c r="D14" t="s">
        <v>59</v>
      </c>
      <c r="F14">
        <f>FusionMOD(F9, $G$4)</f>
        <v>0</v>
      </c>
      <c r="G14">
        <f>FusionMOD(G9, $G$3)</f>
        <v>0</v>
      </c>
      <c r="H14">
        <f>FusionMOD(H9,$G$2)</f>
        <v>0</v>
      </c>
      <c r="I14">
        <f t="shared" ref="I14:Q14" si="3">FusionMOD(I9,$G$2)</f>
        <v>0</v>
      </c>
      <c r="J14">
        <f t="shared" si="3"/>
        <v>0</v>
      </c>
      <c r="K14">
        <f t="shared" si="3"/>
        <v>0</v>
      </c>
      <c r="L14">
        <f t="shared" si="3"/>
        <v>0</v>
      </c>
      <c r="M14">
        <f t="shared" si="3"/>
        <v>0</v>
      </c>
      <c r="N14">
        <f t="shared" si="3"/>
        <v>-1</v>
      </c>
      <c r="O14">
        <f t="shared" si="3"/>
        <v>-1</v>
      </c>
      <c r="P14">
        <f t="shared" si="3"/>
        <v>-1</v>
      </c>
      <c r="Q14">
        <f t="shared" si="3"/>
        <v>-1</v>
      </c>
    </row>
    <row r="15" spans="1:17" x14ac:dyDescent="0.25">
      <c r="A15">
        <v>8</v>
      </c>
      <c r="B15" t="s">
        <v>30</v>
      </c>
      <c r="C15" t="s">
        <v>29</v>
      </c>
      <c r="D15" t="s">
        <v>59</v>
      </c>
    </row>
    <row r="16" spans="1:17" x14ac:dyDescent="0.25">
      <c r="A16">
        <v>9</v>
      </c>
      <c r="B16" t="s">
        <v>61</v>
      </c>
      <c r="C16" t="s">
        <v>30</v>
      </c>
      <c r="D16" t="s">
        <v>59</v>
      </c>
      <c r="F16" s="10">
        <v>13120</v>
      </c>
      <c r="I16" t="s">
        <v>80</v>
      </c>
    </row>
    <row r="17" spans="1:10" x14ac:dyDescent="0.25">
      <c r="A17">
        <v>10</v>
      </c>
      <c r="B17" t="s">
        <v>29</v>
      </c>
      <c r="C17" t="s">
        <v>30</v>
      </c>
      <c r="D17" t="s">
        <v>59</v>
      </c>
      <c r="I17" t="s">
        <v>81</v>
      </c>
    </row>
    <row r="18" spans="1:10" x14ac:dyDescent="0.25">
      <c r="A18">
        <v>11</v>
      </c>
      <c r="B18" t="s">
        <v>30</v>
      </c>
      <c r="C18" t="s">
        <v>30</v>
      </c>
      <c r="D18" t="s">
        <v>59</v>
      </c>
      <c r="G18">
        <f>G4*G3</f>
        <v>12</v>
      </c>
      <c r="H18" t="s">
        <v>105</v>
      </c>
      <c r="I18" t="s">
        <v>82</v>
      </c>
    </row>
    <row r="19" spans="1:10" x14ac:dyDescent="0.25">
      <c r="A19">
        <v>12</v>
      </c>
      <c r="B19" t="s">
        <v>61</v>
      </c>
      <c r="C19" t="s">
        <v>61</v>
      </c>
      <c r="D19" t="s">
        <v>61</v>
      </c>
      <c r="G19">
        <f>G18+(G18*POWER($G$2, ROW()-18))</f>
        <v>48</v>
      </c>
      <c r="H19" t="s">
        <v>104</v>
      </c>
    </row>
    <row r="20" spans="1:10" x14ac:dyDescent="0.25">
      <c r="A20">
        <v>13</v>
      </c>
      <c r="B20" t="s">
        <v>29</v>
      </c>
      <c r="C20" t="s">
        <v>61</v>
      </c>
      <c r="D20" t="s">
        <v>61</v>
      </c>
      <c r="G20" s="13">
        <f>G19+(G$18*POWER($G$2, ROW()-18))</f>
        <v>156</v>
      </c>
      <c r="H20" t="s">
        <v>106</v>
      </c>
      <c r="I20">
        <v>65535</v>
      </c>
      <c r="J20">
        <f>65535-27000</f>
        <v>38535</v>
      </c>
    </row>
    <row r="21" spans="1:10" x14ac:dyDescent="0.25">
      <c r="A21">
        <v>14</v>
      </c>
      <c r="B21" t="s">
        <v>30</v>
      </c>
      <c r="C21" t="s">
        <v>61</v>
      </c>
      <c r="D21" t="s">
        <v>61</v>
      </c>
      <c r="G21" s="13">
        <f t="shared" ref="G21:G28" si="4">G20+(G$18*POWER($G$2, ROW()-18))</f>
        <v>480</v>
      </c>
      <c r="H21" s="12" t="s">
        <v>107</v>
      </c>
      <c r="J21">
        <f>32767-27000</f>
        <v>5767</v>
      </c>
    </row>
    <row r="22" spans="1:10" x14ac:dyDescent="0.25">
      <c r="A22">
        <v>15</v>
      </c>
      <c r="B22" t="s">
        <v>61</v>
      </c>
      <c r="C22" t="s">
        <v>29</v>
      </c>
      <c r="D22" t="s">
        <v>61</v>
      </c>
      <c r="G22" s="13">
        <f t="shared" si="4"/>
        <v>1452</v>
      </c>
      <c r="H22" s="13" t="s">
        <v>108</v>
      </c>
    </row>
    <row r="23" spans="1:10" x14ac:dyDescent="0.25">
      <c r="A23">
        <v>16</v>
      </c>
      <c r="B23" t="s">
        <v>29</v>
      </c>
      <c r="C23" t="s">
        <v>29</v>
      </c>
      <c r="D23" t="s">
        <v>61</v>
      </c>
      <c r="G23" s="13">
        <f t="shared" si="4"/>
        <v>4368</v>
      </c>
      <c r="H23" s="14" t="s">
        <v>109</v>
      </c>
      <c r="I23">
        <f>G23+60</f>
        <v>4428</v>
      </c>
    </row>
    <row r="24" spans="1:10" x14ac:dyDescent="0.25">
      <c r="A24">
        <v>17</v>
      </c>
      <c r="B24" t="s">
        <v>30</v>
      </c>
      <c r="C24" t="s">
        <v>29</v>
      </c>
      <c r="D24" t="s">
        <v>61</v>
      </c>
      <c r="G24" s="13">
        <f t="shared" si="4"/>
        <v>13116</v>
      </c>
      <c r="H24" s="13" t="s">
        <v>110</v>
      </c>
    </row>
    <row r="25" spans="1:10" x14ac:dyDescent="0.25">
      <c r="A25">
        <v>18</v>
      </c>
      <c r="B25" t="s">
        <v>61</v>
      </c>
      <c r="C25" t="s">
        <v>30</v>
      </c>
      <c r="D25" t="s">
        <v>61</v>
      </c>
      <c r="G25" s="13">
        <f t="shared" si="4"/>
        <v>39360</v>
      </c>
      <c r="H25" s="13" t="s">
        <v>111</v>
      </c>
    </row>
    <row r="26" spans="1:10" x14ac:dyDescent="0.25">
      <c r="A26">
        <v>19</v>
      </c>
      <c r="B26" t="s">
        <v>29</v>
      </c>
      <c r="C26" t="s">
        <v>30</v>
      </c>
      <c r="D26" t="s">
        <v>61</v>
      </c>
      <c r="G26" s="13">
        <f t="shared" si="4"/>
        <v>118092</v>
      </c>
      <c r="H26" s="13" t="s">
        <v>112</v>
      </c>
    </row>
    <row r="27" spans="1:10" x14ac:dyDescent="0.25">
      <c r="A27">
        <v>20</v>
      </c>
      <c r="B27" t="s">
        <v>30</v>
      </c>
      <c r="C27" t="s">
        <v>30</v>
      </c>
      <c r="D27" t="s">
        <v>61</v>
      </c>
      <c r="G27" s="13">
        <f t="shared" si="4"/>
        <v>354288</v>
      </c>
      <c r="H27" s="13" t="s">
        <v>113</v>
      </c>
    </row>
    <row r="28" spans="1:10" x14ac:dyDescent="0.25">
      <c r="A28">
        <v>21</v>
      </c>
      <c r="B28" t="s">
        <v>61</v>
      </c>
      <c r="C28" t="s">
        <v>61</v>
      </c>
      <c r="D28" t="s">
        <v>29</v>
      </c>
      <c r="G28" s="13">
        <f t="shared" si="4"/>
        <v>1062876</v>
      </c>
      <c r="H28" s="13" t="s">
        <v>114</v>
      </c>
    </row>
    <row r="29" spans="1:10" x14ac:dyDescent="0.25">
      <c r="A29">
        <v>22</v>
      </c>
      <c r="B29" t="s">
        <v>29</v>
      </c>
      <c r="C29" t="s">
        <v>61</v>
      </c>
      <c r="D29" t="s">
        <v>29</v>
      </c>
    </row>
    <row r="30" spans="1:10" x14ac:dyDescent="0.25">
      <c r="A30">
        <v>23</v>
      </c>
      <c r="B30" t="s">
        <v>30</v>
      </c>
      <c r="C30" t="s">
        <v>61</v>
      </c>
      <c r="D30" t="s">
        <v>29</v>
      </c>
    </row>
    <row r="31" spans="1:10" x14ac:dyDescent="0.25">
      <c r="A31">
        <v>24</v>
      </c>
      <c r="B31" t="s">
        <v>61</v>
      </c>
      <c r="C31" t="s">
        <v>29</v>
      </c>
      <c r="D31" t="s">
        <v>29</v>
      </c>
    </row>
    <row r="32" spans="1:10" x14ac:dyDescent="0.25">
      <c r="A32">
        <v>25</v>
      </c>
      <c r="B32" t="s">
        <v>29</v>
      </c>
      <c r="C32" t="s">
        <v>29</v>
      </c>
      <c r="D32" t="s">
        <v>29</v>
      </c>
    </row>
    <row r="33" spans="1:4" x14ac:dyDescent="0.25">
      <c r="A33">
        <v>26</v>
      </c>
      <c r="B33" t="s">
        <v>30</v>
      </c>
      <c r="C33" t="s">
        <v>29</v>
      </c>
      <c r="D33" t="s">
        <v>29</v>
      </c>
    </row>
    <row r="34" spans="1:4" x14ac:dyDescent="0.25">
      <c r="A34">
        <v>27</v>
      </c>
      <c r="B34" t="s">
        <v>61</v>
      </c>
      <c r="C34" t="s">
        <v>30</v>
      </c>
      <c r="D34" t="s">
        <v>29</v>
      </c>
    </row>
    <row r="35" spans="1:4" x14ac:dyDescent="0.25">
      <c r="A35">
        <v>28</v>
      </c>
      <c r="B35" t="s">
        <v>29</v>
      </c>
      <c r="C35" t="s">
        <v>30</v>
      </c>
      <c r="D35" t="s">
        <v>29</v>
      </c>
    </row>
    <row r="36" spans="1:4" x14ac:dyDescent="0.25">
      <c r="A36">
        <v>29</v>
      </c>
      <c r="B36" t="s">
        <v>30</v>
      </c>
      <c r="C36" t="s">
        <v>30</v>
      </c>
      <c r="D36" t="s">
        <v>29</v>
      </c>
    </row>
    <row r="37" spans="1:4" x14ac:dyDescent="0.25">
      <c r="A37">
        <v>30</v>
      </c>
      <c r="B37" t="s">
        <v>61</v>
      </c>
      <c r="C37" t="s">
        <v>61</v>
      </c>
      <c r="D37" t="s">
        <v>30</v>
      </c>
    </row>
    <row r="38" spans="1:4" x14ac:dyDescent="0.25">
      <c r="A38">
        <v>31</v>
      </c>
      <c r="B38" t="s">
        <v>29</v>
      </c>
      <c r="C38" t="s">
        <v>61</v>
      </c>
      <c r="D38" t="s">
        <v>30</v>
      </c>
    </row>
    <row r="39" spans="1:4" x14ac:dyDescent="0.25">
      <c r="A39">
        <v>32</v>
      </c>
      <c r="B39" t="s">
        <v>30</v>
      </c>
      <c r="C39" t="s">
        <v>61</v>
      </c>
      <c r="D39" t="s">
        <v>30</v>
      </c>
    </row>
    <row r="40" spans="1:4" x14ac:dyDescent="0.25">
      <c r="A40">
        <v>33</v>
      </c>
      <c r="B40" t="s">
        <v>61</v>
      </c>
      <c r="C40" t="s">
        <v>29</v>
      </c>
      <c r="D40" t="s">
        <v>30</v>
      </c>
    </row>
    <row r="41" spans="1:4" x14ac:dyDescent="0.25">
      <c r="A41">
        <v>34</v>
      </c>
      <c r="B41" t="s">
        <v>29</v>
      </c>
      <c r="C41" t="s">
        <v>29</v>
      </c>
      <c r="D41" t="s">
        <v>30</v>
      </c>
    </row>
    <row r="42" spans="1:4" x14ac:dyDescent="0.25">
      <c r="A42">
        <v>35</v>
      </c>
      <c r="B42" t="s">
        <v>30</v>
      </c>
      <c r="C42" t="s">
        <v>29</v>
      </c>
      <c r="D42" t="s">
        <v>30</v>
      </c>
    </row>
    <row r="43" spans="1:4" x14ac:dyDescent="0.25">
      <c r="A43">
        <v>36</v>
      </c>
      <c r="B43" t="s">
        <v>61</v>
      </c>
      <c r="C43" t="s">
        <v>30</v>
      </c>
      <c r="D43" t="s">
        <v>30</v>
      </c>
    </row>
    <row r="44" spans="1:4" x14ac:dyDescent="0.25">
      <c r="A44">
        <v>37</v>
      </c>
      <c r="B44" t="s">
        <v>29</v>
      </c>
      <c r="C44" t="s">
        <v>30</v>
      </c>
      <c r="D44" t="s">
        <v>30</v>
      </c>
    </row>
    <row r="45" spans="1:4" x14ac:dyDescent="0.25">
      <c r="A45">
        <v>38</v>
      </c>
      <c r="B45" t="s">
        <v>30</v>
      </c>
      <c r="C45" t="s">
        <v>30</v>
      </c>
      <c r="D45" t="s">
        <v>30</v>
      </c>
    </row>
    <row r="46" spans="1:4" x14ac:dyDescent="0.25">
      <c r="B46" t="s">
        <v>64</v>
      </c>
      <c r="C46">
        <f>COUNTA(C7:C45)</f>
        <v>39</v>
      </c>
      <c r="D46">
        <f>C46*4</f>
        <v>156</v>
      </c>
    </row>
  </sheetData>
  <mergeCells count="5">
    <mergeCell ref="L2:N2"/>
    <mergeCell ref="L3:N3"/>
    <mergeCell ref="L4:N4"/>
    <mergeCell ref="L5:N5"/>
    <mergeCell ref="L1:N1"/>
  </mergeCell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>
      <selection activeCell="C6" sqref="C6"/>
    </sheetView>
  </sheetViews>
  <sheetFormatPr defaultRowHeight="15" x14ac:dyDescent="0.25"/>
  <cols>
    <col min="1" max="1" width="32.42578125" customWidth="1"/>
    <col min="2" max="2" width="9.85546875" bestFit="1" customWidth="1"/>
    <col min="3" max="3" width="11.140625" bestFit="1" customWidth="1"/>
    <col min="4" max="4" width="14.42578125" customWidth="1"/>
    <col min="5" max="5" width="12.140625" bestFit="1" customWidth="1"/>
    <col min="6" max="6" width="12" bestFit="1" customWidth="1"/>
    <col min="7" max="7" width="17.85546875" bestFit="1" customWidth="1"/>
  </cols>
  <sheetData>
    <row r="1" spans="1:7" x14ac:dyDescent="0.25">
      <c r="C1" t="s">
        <v>87</v>
      </c>
      <c r="D1" t="s">
        <v>88</v>
      </c>
      <c r="E1" t="s">
        <v>89</v>
      </c>
      <c r="F1" t="s">
        <v>90</v>
      </c>
      <c r="G1" t="s">
        <v>91</v>
      </c>
    </row>
    <row r="2" spans="1:7" x14ac:dyDescent="0.25">
      <c r="A2" t="s">
        <v>83</v>
      </c>
      <c r="B2" t="s">
        <v>84</v>
      </c>
      <c r="F2" t="s">
        <v>94</v>
      </c>
      <c r="G2" t="s">
        <v>94</v>
      </c>
    </row>
    <row r="3" spans="1:7" x14ac:dyDescent="0.25">
      <c r="B3" t="s">
        <v>85</v>
      </c>
    </row>
    <row r="4" spans="1:7" x14ac:dyDescent="0.25">
      <c r="A4" t="s">
        <v>86</v>
      </c>
      <c r="B4" t="s">
        <v>84</v>
      </c>
      <c r="C4" t="s">
        <v>93</v>
      </c>
      <c r="D4" t="s">
        <v>93</v>
      </c>
      <c r="E4" t="s">
        <v>93</v>
      </c>
      <c r="F4" t="s">
        <v>94</v>
      </c>
      <c r="G4" t="s">
        <v>94</v>
      </c>
    </row>
    <row r="5" spans="1:7" x14ac:dyDescent="0.25">
      <c r="B5" t="s">
        <v>85</v>
      </c>
      <c r="C5" t="s">
        <v>93</v>
      </c>
      <c r="D5" s="11" t="s">
        <v>92</v>
      </c>
      <c r="E5" s="11" t="s">
        <v>92</v>
      </c>
      <c r="F5" t="s">
        <v>93</v>
      </c>
      <c r="G5" t="s">
        <v>93</v>
      </c>
    </row>
    <row r="6" spans="1:7" x14ac:dyDescent="0.25">
      <c r="A6" t="s">
        <v>97</v>
      </c>
      <c r="B6" t="s">
        <v>84</v>
      </c>
      <c r="C6" t="s">
        <v>93</v>
      </c>
      <c r="D6" t="s">
        <v>93</v>
      </c>
      <c r="F6" t="s">
        <v>94</v>
      </c>
      <c r="G6" t="s">
        <v>94</v>
      </c>
    </row>
    <row r="7" spans="1:7" x14ac:dyDescent="0.25">
      <c r="B7" t="s">
        <v>85</v>
      </c>
    </row>
    <row r="9" spans="1:7" x14ac:dyDescent="0.25">
      <c r="A9" s="31" t="s">
        <v>95</v>
      </c>
      <c r="B9" s="31"/>
      <c r="C9" s="31"/>
      <c r="D9" s="31"/>
      <c r="E9" s="31"/>
      <c r="F9" s="31"/>
      <c r="G9" s="31"/>
    </row>
    <row r="10" spans="1:7" x14ac:dyDescent="0.25">
      <c r="A10" s="31" t="s">
        <v>96</v>
      </c>
      <c r="B10" s="31"/>
      <c r="C10" s="31"/>
      <c r="D10" s="31"/>
      <c r="E10" s="31"/>
      <c r="F10" s="31"/>
      <c r="G10" s="31"/>
    </row>
    <row r="13" spans="1:7" x14ac:dyDescent="0.25">
      <c r="A13" t="s">
        <v>98</v>
      </c>
    </row>
    <row r="14" spans="1:7" x14ac:dyDescent="0.25">
      <c r="A14" t="s">
        <v>99</v>
      </c>
    </row>
    <row r="15" spans="1:7" x14ac:dyDescent="0.25">
      <c r="A15" t="s">
        <v>103</v>
      </c>
      <c r="B15" t="s">
        <v>101</v>
      </c>
    </row>
    <row r="16" spans="1:7" x14ac:dyDescent="0.25">
      <c r="A16" t="s">
        <v>100</v>
      </c>
    </row>
    <row r="17" spans="1:2" x14ac:dyDescent="0.25">
      <c r="A17" t="s">
        <v>102</v>
      </c>
      <c r="B17" t="s">
        <v>101</v>
      </c>
    </row>
  </sheetData>
  <mergeCells count="2">
    <mergeCell ref="A9:G9"/>
    <mergeCell ref="A10:G10"/>
  </mergeCells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Sheet5</vt:lpstr>
      <vt:lpstr>Sheet6</vt:lpstr>
      <vt:lpstr>Sheet4</vt:lpstr>
    </vt:vector>
  </TitlesOfParts>
  <Company>Darkwire Software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</dc:creator>
  <cp:lastModifiedBy>Phi</cp:lastModifiedBy>
  <dcterms:created xsi:type="dcterms:W3CDTF">2018-09-12T01:21:15Z</dcterms:created>
  <dcterms:modified xsi:type="dcterms:W3CDTF">2022-09-22T20:20:58Z</dcterms:modified>
</cp:coreProperties>
</file>